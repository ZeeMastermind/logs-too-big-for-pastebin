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eni\Documents\"/>
    </mc:Choice>
  </mc:AlternateContent>
  <xr:revisionPtr revIDLastSave="0" documentId="8_{DE76F48F-47F8-48C0-8026-894089037650}" xr6:coauthVersionLast="45" xr6:coauthVersionMax="45" xr10:uidLastSave="{00000000-0000-0000-0000-000000000000}"/>
  <bookViews>
    <workbookView xWindow="-120" yWindow="-120" windowWidth="20730" windowHeight="11160" xr2:uid="{FC8B4620-D450-4EC0-91FD-CF32BDC77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3" i="1" l="1"/>
  <c r="B31" i="1"/>
  <c r="B27" i="1"/>
  <c r="B34" i="1"/>
  <c r="B12" i="1"/>
  <c r="B24" i="1" s="1"/>
  <c r="B11" i="1"/>
  <c r="B13" i="1" s="1"/>
  <c r="B17" i="1" s="1"/>
  <c r="B9" i="1"/>
  <c r="B14" i="1"/>
  <c r="B21" i="1" s="1"/>
  <c r="B16" i="1" l="1"/>
  <c r="B19" i="1" s="1"/>
  <c r="B23" i="1"/>
  <c r="B26" i="1" s="1"/>
  <c r="B28" i="1"/>
  <c r="B29" i="1" s="1"/>
  <c r="B32" i="1" s="1"/>
  <c r="B22" i="1"/>
  <c r="B25" i="1" s="1"/>
  <c r="B15" i="1"/>
  <c r="B18" i="1" s="1"/>
  <c r="B30" i="1" s="1"/>
  <c r="B20" i="1" l="1"/>
</calcChain>
</file>

<file path=xl/sharedStrings.xml><?xml version="1.0" encoding="utf-8"?>
<sst xmlns="http://schemas.openxmlformats.org/spreadsheetml/2006/main" count="34" uniqueCount="34">
  <si>
    <t>Standard Rate of Piracy</t>
  </si>
  <si>
    <t>Early PDF Release Piracy Rate</t>
  </si>
  <si>
    <t>Book Base Production Cost</t>
  </si>
  <si>
    <t>DTRPG Percentage</t>
  </si>
  <si>
    <t>Shipping/Printing Cost per Unit</t>
  </si>
  <si>
    <t>Physical book price</t>
  </si>
  <si>
    <t>Digital book price</t>
  </si>
  <si>
    <t>PDF Sales Rate</t>
  </si>
  <si>
    <t>Ship/print percentage</t>
  </si>
  <si>
    <t>PDF Sales</t>
  </si>
  <si>
    <t>Book Sales</t>
  </si>
  <si>
    <t>PDF Gross</t>
  </si>
  <si>
    <t>Book Gross</t>
  </si>
  <si>
    <t>Total Gross</t>
  </si>
  <si>
    <t>PDF cost</t>
  </si>
  <si>
    <t>Book cost</t>
  </si>
  <si>
    <t>PDF Sales (W/O standard piracy)</t>
  </si>
  <si>
    <t>Book Sales (W/O standard piracy)</t>
  </si>
  <si>
    <t>Total Gross w/o standard piracy</t>
  </si>
  <si>
    <t>Total Gross, with early release piracy</t>
  </si>
  <si>
    <t>Book cost w/o piracy</t>
  </si>
  <si>
    <t>PDF cost w/o piracy</t>
  </si>
  <si>
    <t>Total cost</t>
  </si>
  <si>
    <t>Total cost w/o piracy</t>
  </si>
  <si>
    <t>PDF Sales w/ adjusted piracy</t>
  </si>
  <si>
    <t>PDF Costs w/ adjusted piracy</t>
  </si>
  <si>
    <t>PDF Gross w/ adjusted piracy</t>
  </si>
  <si>
    <t>Net profit (No release!)</t>
  </si>
  <si>
    <t>PDF Gross (W/O standard piracy)</t>
  </si>
  <si>
    <t>Book Gross (W/O standard piracy)</t>
  </si>
  <si>
    <t>Net profit (Standard rate of piracy)</t>
  </si>
  <si>
    <t>Net profit (No piracy)</t>
  </si>
  <si>
    <t>Net Profit (Adjusted piracy; book sales unaffected)</t>
  </si>
  <si>
    <t>Net profit (Adjusted piracy; 0 book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</si>
</sst>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3010-308D-470D-88CD-3A5BE22D7EAD}">
  <dimension ref="A1:B34"/>
  <sheetViews>
    <sheetView tabSelected="1" zoomScale="108" workbookViewId="0">
      <selection activeCell="C30" sqref="C30"/>
    </sheetView>
  </sheetViews>
  <sheetFormatPr defaultRowHeight="15" x14ac:dyDescent="0.25"/>
  <cols>
    <col min="1" max="1" width="47.7109375" bestFit="1" customWidth="1"/>
    <col min="2" max="2" width="9.140625" style="1"/>
  </cols>
  <sheetData>
    <row r="1" spans="1:2" x14ac:dyDescent="0.25">
      <c r="A1" t="s">
        <v>0</v>
      </c>
      <c r="B1" s="1">
        <v>0.25</v>
      </c>
    </row>
    <row r="2" spans="1:2" x14ac:dyDescent="0.25">
      <c r="A2" t="s">
        <v>1</v>
      </c>
      <c r="B2" s="1">
        <v>0.5</v>
      </c>
    </row>
    <row r="3" spans="1:2" x14ac:dyDescent="0.25">
      <c r="A3" t="s">
        <v>7</v>
      </c>
      <c r="B3" s="1">
        <v>0.5</v>
      </c>
    </row>
    <row r="4" spans="1:2" x14ac:dyDescent="0.25">
      <c r="A4" t="s">
        <v>2</v>
      </c>
      <c r="B4" s="1">
        <v>7000</v>
      </c>
    </row>
    <row r="5" spans="1:2" x14ac:dyDescent="0.25">
      <c r="A5" t="s">
        <v>3</v>
      </c>
      <c r="B5" s="1">
        <v>0.35</v>
      </c>
    </row>
    <row r="6" spans="1:2" x14ac:dyDescent="0.25">
      <c r="A6" t="s">
        <v>4</v>
      </c>
      <c r="B6" s="1">
        <v>15</v>
      </c>
    </row>
    <row r="7" spans="1:2" x14ac:dyDescent="0.25">
      <c r="A7" t="s">
        <v>5</v>
      </c>
      <c r="B7" s="1">
        <v>40</v>
      </c>
    </row>
    <row r="8" spans="1:2" x14ac:dyDescent="0.25">
      <c r="A8" t="s">
        <v>6</v>
      </c>
      <c r="B8" s="1">
        <v>20</v>
      </c>
    </row>
    <row r="9" spans="1:2" x14ac:dyDescent="0.25">
      <c r="A9" t="s">
        <v>8</v>
      </c>
      <c r="B9" s="1" t="str">
        <f>IMDIV(B6,B7)</f>
        <v>0.375</v>
      </c>
    </row>
    <row r="10" spans="1:2" x14ac:dyDescent="0.25">
      <c r="A10" t="s">
        <v>9</v>
      </c>
      <c r="B10" s="1">
        <v>375</v>
      </c>
    </row>
    <row r="11" spans="1:2" x14ac:dyDescent="0.25">
      <c r="A11" t="s">
        <v>10</v>
      </c>
      <c r="B11" s="1">
        <f>PRODUCT(QUOTIENT(B10,B3),IMSUB(1,B3))</f>
        <v>375</v>
      </c>
    </row>
    <row r="12" spans="1:2" x14ac:dyDescent="0.25">
      <c r="A12" t="s">
        <v>16</v>
      </c>
      <c r="B12" s="1">
        <f>PRODUCT(QUOTIENT(B10,IMSUB(1,B1)))</f>
        <v>500</v>
      </c>
    </row>
    <row r="13" spans="1:2" x14ac:dyDescent="0.25">
      <c r="A13" t="s">
        <v>17</v>
      </c>
      <c r="B13" s="1">
        <f>PRODUCT(QUOTIENT(B11,IMSUB(1,B1)))</f>
        <v>500</v>
      </c>
    </row>
    <row r="14" spans="1:2" x14ac:dyDescent="0.25">
      <c r="A14" t="s">
        <v>11</v>
      </c>
      <c r="B14" s="1">
        <f>PRODUCT(B10,B8)</f>
        <v>7500</v>
      </c>
    </row>
    <row r="15" spans="1:2" x14ac:dyDescent="0.25">
      <c r="A15" t="s">
        <v>12</v>
      </c>
      <c r="B15" s="1">
        <f>PRODUCT(B11, B7)</f>
        <v>15000</v>
      </c>
    </row>
    <row r="16" spans="1:2" x14ac:dyDescent="0.25">
      <c r="A16" t="s">
        <v>28</v>
      </c>
      <c r="B16" s="1">
        <f>PRODUCT(B12,B8)</f>
        <v>10000</v>
      </c>
    </row>
    <row r="17" spans="1:2" x14ac:dyDescent="0.25">
      <c r="A17" t="s">
        <v>29</v>
      </c>
      <c r="B17" s="1">
        <f>PRODUCT(B13,B7)</f>
        <v>20000</v>
      </c>
    </row>
    <row r="18" spans="1:2" x14ac:dyDescent="0.25">
      <c r="A18" t="s">
        <v>13</v>
      </c>
      <c r="B18" s="1">
        <f>SUM(B14,B15)</f>
        <v>22500</v>
      </c>
    </row>
    <row r="19" spans="1:2" x14ac:dyDescent="0.25">
      <c r="A19" t="s">
        <v>18</v>
      </c>
      <c r="B19" s="1">
        <f>SUM(B16,B17)</f>
        <v>30000</v>
      </c>
    </row>
    <row r="20" spans="1:2" x14ac:dyDescent="0.25">
      <c r="A20" t="s">
        <v>19</v>
      </c>
      <c r="B20" s="1">
        <f>PRODUCT(B19, B2)</f>
        <v>15000</v>
      </c>
    </row>
    <row r="21" spans="1:2" x14ac:dyDescent="0.25">
      <c r="A21" t="s">
        <v>14</v>
      </c>
      <c r="B21" s="2">
        <f>PRODUCT(B14, B5)</f>
        <v>2625</v>
      </c>
    </row>
    <row r="22" spans="1:2" x14ac:dyDescent="0.25">
      <c r="A22" t="s">
        <v>15</v>
      </c>
      <c r="B22" s="1">
        <f>PRODUCT(B11,B6)</f>
        <v>5625</v>
      </c>
    </row>
    <row r="23" spans="1:2" x14ac:dyDescent="0.25">
      <c r="A23" t="s">
        <v>20</v>
      </c>
      <c r="B23" s="1">
        <f>PRODUCT(B12,B6)</f>
        <v>7500</v>
      </c>
    </row>
    <row r="24" spans="1:2" x14ac:dyDescent="0.25">
      <c r="A24" t="s">
        <v>21</v>
      </c>
      <c r="B24" s="1">
        <f>PRODUCT(B12,B8,B5)</f>
        <v>3500</v>
      </c>
    </row>
    <row r="25" spans="1:2" x14ac:dyDescent="0.25">
      <c r="A25" t="s">
        <v>22</v>
      </c>
      <c r="B25" s="1">
        <f>SUM(B21,B22)</f>
        <v>8250</v>
      </c>
    </row>
    <row r="26" spans="1:2" x14ac:dyDescent="0.25">
      <c r="A26" t="s">
        <v>23</v>
      </c>
      <c r="B26" s="1">
        <f>SUM(B23,B24)</f>
        <v>11000</v>
      </c>
    </row>
    <row r="27" spans="1:2" x14ac:dyDescent="0.25">
      <c r="A27" t="s">
        <v>24</v>
      </c>
      <c r="B27" s="1">
        <f>PRODUCT(B12,IMSUB(1,B2))</f>
        <v>250</v>
      </c>
    </row>
    <row r="28" spans="1:2" x14ac:dyDescent="0.25">
      <c r="A28" t="s">
        <v>26</v>
      </c>
      <c r="B28" s="1">
        <f>PRODUCT(B27,B8)</f>
        <v>5000</v>
      </c>
    </row>
    <row r="29" spans="1:2" x14ac:dyDescent="0.25">
      <c r="A29" t="s">
        <v>25</v>
      </c>
      <c r="B29" s="1">
        <f>PRODUCT(B28,B5)</f>
        <v>1750</v>
      </c>
    </row>
    <row r="30" spans="1:2" x14ac:dyDescent="0.25">
      <c r="A30" s="3" t="s">
        <v>30</v>
      </c>
      <c r="B30" s="4" t="str">
        <f>IMSUB(IMSUB(B18,B25),B4)</f>
        <v>7250</v>
      </c>
    </row>
    <row r="31" spans="1:2" x14ac:dyDescent="0.25">
      <c r="A31" s="3" t="s">
        <v>31</v>
      </c>
      <c r="B31" s="4" t="str">
        <f>IMSUB(IMSUB(B19,B26),B4)</f>
        <v>12000</v>
      </c>
    </row>
    <row r="32" spans="1:2" x14ac:dyDescent="0.25">
      <c r="A32" s="3" t="s">
        <v>33</v>
      </c>
      <c r="B32" s="4" t="str">
        <f>IMSUB(IMSUB(B28,B29),B4)</f>
        <v>-3750</v>
      </c>
    </row>
    <row r="33" spans="1:2" x14ac:dyDescent="0.25">
      <c r="A33" s="3" t="s">
        <v>32</v>
      </c>
      <c r="B33" s="4" t="str">
        <f>IMSUB(PRODUCT(IMSUB(B19,B26),IMSUB(1,B2)),B4)</f>
        <v>2500</v>
      </c>
    </row>
    <row r="34" spans="1:2" x14ac:dyDescent="0.25">
      <c r="A34" s="3" t="s">
        <v>27</v>
      </c>
      <c r="B34" s="4" t="str">
        <f>IMSUB(0,B4)</f>
        <v>-7000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wheni</dc:creator>
  <cp:lastModifiedBy>wheni</cp:lastModifiedBy>
  <dcterms:created xsi:type="dcterms:W3CDTF">2020-08-03T17:43:06Z</dcterms:created>
  <dcterms:modified xsi:type="dcterms:W3CDTF">2020-08-03T18:30:57Z</dcterms:modified>
</cp:coreProperties>
</file>